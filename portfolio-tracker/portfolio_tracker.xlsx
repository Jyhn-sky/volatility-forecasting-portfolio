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History" sheetId="5" state="visible" r:id="rId5"/>
    <sheet xmlns:r="http://schemas.openxmlformats.org/officeDocument/2006/relationships" name="Pr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9"/>
    </font>
    <font>
      <b val="1"/>
    </font>
    <font>
      <color rgb="000000FF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EF3FA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4" borderId="2" pivotButton="0" quotePrefix="0" xfId="0"/>
    <xf numFmtId="165" fontId="3" fillId="4" borderId="2" pivotButton="0" quotePrefix="0" xfId="0"/>
    <xf numFmtId="0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10" fontId="3" fillId="4" borderId="2" pivotButton="0" quotePrefix="0" xfId="0"/>
    <xf numFmtId="1" fontId="3" fillId="4" borderId="2" pivotButton="0" quotePrefix="0" xfId="0"/>
    <xf numFmtId="2" fontId="3" fillId="4" borderId="2" pivotButton="0" quotePrefix="0" xfId="0"/>
    <xf numFmtId="0" fontId="2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6" fontId="3" fillId="0" borderId="1" pivotButton="0" quotePrefix="0" xfId="0"/>
    <xf numFmtId="10" fontId="3" fillId="0" borderId="1" pivotButton="0" quotePrefix="0" xfId="0"/>
    <xf numFmtId="164" fontId="4" fillId="2" borderId="0" pivotButton="0" quotePrefix="0" xfId="0"/>
    <xf numFmtId="166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pivotButton="0" quotePrefix="0" xfId="0"/>
    <xf numFmtId="165" fontId="4" fillId="2" borderId="0" pivotButton="0" quotePrefix="0" xfId="0"/>
    <xf numFmtId="10" fontId="4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Growth of 100: portfolio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'History'!P3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'History'!$A$4:$A$263</f>
            </numRef>
          </cat>
          <val>
            <numRef>
              <f>'History'!$P$4:$P$263</f>
            </numRef>
          </val>
        </ser>
        <ser>
          <idx val="1"/>
          <order val="1"/>
          <tx>
            <strRef>
              <f>'History'!Q3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'History'!$A$4:$A$263</f>
            </numRef>
          </cat>
          <val>
            <numRef>
              <f>'History'!$Q$4:$Q$263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(start =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drawdown</a:t>
            </a:r>
          </a:p>
        </rich>
      </tx>
    </title>
    <plotArea>
      <areaChart>
        <grouping val="standard"/>
        <ser>
          <idx val="0"/>
          <order val="0"/>
          <tx>
            <strRef>
              <f>'History'!U3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'History'!$A$4:$A$263</f>
            </numRef>
          </cat>
          <val>
            <numRef>
              <f>'History'!$U$4:$U$263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'Dashboard'!$D$5:$D$15</f>
            </numRef>
          </cat>
          <val>
            <numRef>
              <f>'Dashboard'!$E$5:$E$15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64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" customWidth="1" min="3" max="3"/>
    <col width="26" customWidth="1" min="4" max="4"/>
    <col width="10" customWidth="1" min="5" max="5"/>
    <col width="14" customWidth="1" min="6" max="6"/>
  </cols>
  <sheetData>
    <row r="1">
      <c r="A1" s="1" t="inlineStr">
        <is>
          <t>Portfolio Dashboard</t>
        </is>
      </c>
    </row>
    <row r="2">
      <c r="A2" s="2">
        <f>Settings!B4&amp;"  |  Benchmark: "&amp;Settings!$B$7&amp;"  |  Since "&amp;TEXT(Settings!$B$5,"yyyy-mm-dd")</f>
        <v/>
      </c>
    </row>
    <row r="4">
      <c r="A4" s="3" t="inlineStr">
        <is>
          <t>Performance</t>
        </is>
      </c>
      <c r="B4" s="4" t="n"/>
      <c r="D4" s="5" t="inlineStr">
        <is>
          <t>Sector allocation</t>
        </is>
      </c>
      <c r="E4" s="5" t="inlineStr">
        <is>
          <t>Weight</t>
        </is>
      </c>
      <c r="F4" s="5" t="inlineStr">
        <is>
          <t>Value</t>
        </is>
      </c>
    </row>
    <row r="5">
      <c r="A5" s="6" t="inlineStr">
        <is>
          <t>Portfolio value</t>
        </is>
      </c>
      <c r="B5" s="7">
        <f>Holdings!H17</f>
        <v/>
      </c>
      <c r="D5" s="8">
        <f>SORT(UNIQUE(FILTER(Holdings!C5:C14,Holdings!A5:A14&lt;&gt;"")))</f>
        <v/>
      </c>
      <c r="E5" s="9">
        <f>ARRAYFORMULA(IF(D5:D14="",,F5:F14/Holdings!H17))</f>
        <v/>
      </c>
      <c r="F5" s="10">
        <f>ARRAYFORMULA(IF(D5:D14="",,SUMIF(Holdings!C5:C14,D5:D14,Holdings!H5:H14)))</f>
        <v/>
      </c>
    </row>
    <row r="6">
      <c r="A6" s="6" t="inlineStr">
        <is>
          <t>Starting capital</t>
        </is>
      </c>
      <c r="B6" s="7">
        <f>Settings!$B$6</f>
        <v/>
      </c>
      <c r="D6" s="8" t="n"/>
      <c r="E6" s="9" t="n"/>
      <c r="F6" s="10" t="n"/>
    </row>
    <row r="7">
      <c r="A7" s="6" t="inlineStr">
        <is>
          <t>Total return</t>
        </is>
      </c>
      <c r="B7" s="11">
        <f>Holdings!H17/Settings!$B$6-1</f>
        <v/>
      </c>
      <c r="D7" s="8" t="n"/>
      <c r="E7" s="9" t="n"/>
      <c r="F7" s="10" t="n"/>
    </row>
    <row r="8">
      <c r="A8" s="6" t="inlineStr">
        <is>
          <t>Benchmark return</t>
        </is>
      </c>
      <c r="B8" s="11">
        <f>IFERROR(GOOGLEFINANCE(Settings!$B$7)/Prices!B4-1,"")</f>
        <v/>
      </c>
      <c r="D8" s="8" t="n"/>
      <c r="E8" s="9" t="n"/>
      <c r="F8" s="10" t="n"/>
    </row>
    <row r="9">
      <c r="A9" s="6" t="inlineStr">
        <is>
          <t>Excess return vs benchmark</t>
        </is>
      </c>
      <c r="B9" s="11">
        <f>B7-B8</f>
        <v/>
      </c>
      <c r="D9" s="8" t="n"/>
      <c r="E9" s="9" t="n"/>
      <c r="F9" s="10" t="n"/>
    </row>
    <row r="10">
      <c r="A10" s="6" t="inlineStr">
        <is>
          <t>Trading days tracked</t>
        </is>
      </c>
      <c r="B10" s="12">
        <f>COUNT(History!A4:A1003)</f>
        <v/>
      </c>
      <c r="D10" s="8" t="n"/>
      <c r="E10" s="9" t="n"/>
      <c r="F10" s="10" t="n"/>
    </row>
    <row r="11">
      <c r="A11" s="3" t="inlineStr">
        <is>
          <t>Risk-adjusted (daily returns, annualized)</t>
        </is>
      </c>
      <c r="B11" s="4" t="n"/>
      <c r="D11" s="8" t="n"/>
      <c r="E11" s="9" t="n"/>
      <c r="F11" s="10" t="n"/>
    </row>
    <row r="12">
      <c r="A12" s="6" t="inlineStr">
        <is>
          <t>Beta vs benchmark</t>
        </is>
      </c>
      <c r="B12" s="13">
        <f>IFERROR(SLOPE(History!R5:R1003,History!S5:S1003),"")</f>
        <v/>
      </c>
      <c r="D12" s="8" t="n"/>
      <c r="E12" s="9" t="n"/>
      <c r="F12" s="10" t="n"/>
    </row>
    <row r="13">
      <c r="A13" s="6" t="inlineStr">
        <is>
          <t>Jensen's alpha (annual)</t>
        </is>
      </c>
      <c r="B13" s="11">
        <f>IFERROR((AVERAGE(History!R5:R1003)-Settings!$B$8/252-B12*(AVERAGE(History!S5:S1003)-Settings!$B$8/252))*252,"")</f>
        <v/>
      </c>
      <c r="D13" s="8" t="n"/>
      <c r="E13" s="9" t="n"/>
      <c r="F13" s="10" t="n"/>
    </row>
    <row r="14">
      <c r="A14" s="6" t="inlineStr">
        <is>
          <t>Correlation with benchmark</t>
        </is>
      </c>
      <c r="B14" s="13">
        <f>IFERROR(CORREL(History!R5:R1003,History!S5:S1003),"")</f>
        <v/>
      </c>
      <c r="D14" s="8" t="n"/>
      <c r="E14" s="9" t="n"/>
      <c r="F14" s="10" t="n"/>
    </row>
    <row r="15">
      <c r="A15" s="6" t="inlineStr">
        <is>
          <t>Portfolio volatility</t>
        </is>
      </c>
      <c r="B15" s="11">
        <f>IFERROR(STDEV(History!R5:R1003)*SQRT(252),"")</f>
        <v/>
      </c>
      <c r="D15" s="8" t="inlineStr">
        <is>
          <t>Cash</t>
        </is>
      </c>
      <c r="E15" s="9">
        <f>Holdings!I16</f>
        <v/>
      </c>
      <c r="F15" s="10">
        <f>Holdings!H16</f>
        <v/>
      </c>
    </row>
    <row r="16">
      <c r="A16" s="6" t="inlineStr">
        <is>
          <t>Benchmark volatility</t>
        </is>
      </c>
      <c r="B16" s="11">
        <f>IFERROR(STDEV(History!S5:S1003)*SQRT(252),"")</f>
        <v/>
      </c>
    </row>
    <row r="17">
      <c r="A17" s="6" t="inlineStr">
        <is>
          <t>Sharpe ratio</t>
        </is>
      </c>
      <c r="B17" s="13">
        <f>IFERROR((AVERAGE(History!R5:R1003)*252-Settings!$B$8)/B15,"")</f>
        <v/>
      </c>
    </row>
    <row r="18">
      <c r="A18" s="3" t="inlineStr">
        <is>
          <t>Drawdown</t>
        </is>
      </c>
      <c r="B18" s="4" t="n"/>
    </row>
    <row r="19">
      <c r="A19" s="6" t="inlineStr">
        <is>
          <t>Max drawdown (portfolio)</t>
        </is>
      </c>
      <c r="B19" s="11">
        <f>MIN(History!U4:U1003)</f>
        <v/>
      </c>
    </row>
    <row r="20">
      <c r="A20" s="6" t="inlineStr">
        <is>
          <t>Max drawdown (benchmark)</t>
        </is>
      </c>
      <c r="B20" s="11">
        <f>MIN(History!W4:W1003)</f>
        <v/>
      </c>
    </row>
    <row r="21">
      <c r="A21" s="6" t="inlineStr">
        <is>
          <t>Current drawdown</t>
        </is>
      </c>
      <c r="B21" s="11">
        <f>IFERROR(INDEX(History!U4:U1003,B10),"")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4" customWidth="1" min="3" max="3"/>
    <col width="9" customWidth="1" min="4" max="4"/>
    <col width="11" customWidth="1" min="5" max="5"/>
    <col width="11" customWidth="1" min="6" max="6"/>
    <col width="9" customWidth="1" min="7" max="7"/>
    <col width="14" customWidth="1" min="8" max="8"/>
    <col width="9" customWidth="1" min="9" max="9"/>
    <col width="14" customWidth="1" min="10" max="10"/>
    <col width="14" customWidth="1" min="11" max="11"/>
    <col width="9" customWidth="1" min="12" max="12"/>
    <col width="7" customWidth="1" min="13" max="13"/>
  </cols>
  <sheetData>
    <row r="1">
      <c r="A1" s="1" t="inlineStr">
        <is>
          <t>Holdings</t>
        </is>
      </c>
    </row>
    <row r="2">
      <c r="A2" s="14" t="inlineStr">
        <is>
          <t>Enter a ticker and sector in each slot (yellow). Shares and cost come from the Trades tab; prices are live.</t>
        </is>
      </c>
    </row>
    <row r="4">
      <c r="A4" s="5" t="inlineStr">
        <is>
          <t>Ticker</t>
        </is>
      </c>
      <c r="B4" s="5" t="inlineStr">
        <is>
          <t>Name</t>
        </is>
      </c>
      <c r="C4" s="5" t="inlineStr">
        <is>
          <t>Sector</t>
        </is>
      </c>
      <c r="D4" s="5" t="inlineStr">
        <is>
          <t>Shares</t>
        </is>
      </c>
      <c r="E4" s="5" t="inlineStr">
        <is>
          <t>Avg cost</t>
        </is>
      </c>
      <c r="F4" s="5" t="inlineStr">
        <is>
          <t>Live price</t>
        </is>
      </c>
      <c r="G4" s="5" t="inlineStr">
        <is>
          <t>Day chg</t>
        </is>
      </c>
      <c r="H4" s="5" t="inlineStr">
        <is>
          <t>Market value</t>
        </is>
      </c>
      <c r="I4" s="5" t="inlineStr">
        <is>
          <t>Weight</t>
        </is>
      </c>
      <c r="J4" s="5" t="inlineStr">
        <is>
          <t>Cost basis</t>
        </is>
      </c>
      <c r="K4" s="5" t="inlineStr">
        <is>
          <t>Unrealized P/L</t>
        </is>
      </c>
      <c r="L4" s="5" t="inlineStr">
        <is>
          <t>Return</t>
        </is>
      </c>
      <c r="M4" s="5" t="inlineStr">
        <is>
          <t>Beta</t>
        </is>
      </c>
    </row>
    <row r="5">
      <c r="A5" s="15" t="inlineStr">
        <is>
          <t>AAPL</t>
        </is>
      </c>
      <c r="B5">
        <f>IF(A5="","",IFERROR(GOOGLEFINANCE(A5,"name"),""))</f>
        <v/>
      </c>
      <c r="C5" s="15" t="inlineStr">
        <is>
          <t>Information Technology</t>
        </is>
      </c>
      <c r="D5" s="16">
        <f>IF(A5="","",SUMIFS(Trades!$G$5:$G$204,Trades!$B$5:$B$204,A5))</f>
        <v/>
      </c>
      <c r="E5" s="17">
        <f>IF(A5="","",IFERROR(SUMPRODUCT((Trades!$B$5:$B$204=A5)*(Trades!$C$5:$C$204="BUY"),Trades!$D$5:$D$204,Trades!$E$5:$E$204)/SUMIFS(Trades!$D$5:$D$204,Trades!$B$5:$B$204,A5,Trades!$C$5:$C$204,"BUY"),""))</f>
        <v/>
      </c>
      <c r="F5" s="17">
        <f>IF(A5="","",IFERROR(GOOGLEFINANCE(A5),""))</f>
        <v/>
      </c>
      <c r="G5" s="18">
        <f>IF(A5="","",IFERROR(GOOGLEFINANCE(A5,"changepct")/100,""))</f>
        <v/>
      </c>
      <c r="H5" s="17">
        <f>IF(A5="","",IFERROR(D5*F5,0))</f>
        <v/>
      </c>
      <c r="I5" s="18">
        <f>IF(A5="","",IFERROR(H5/$H$17,""))</f>
        <v/>
      </c>
      <c r="J5" s="17">
        <f>IF(A5="","",IFERROR(D5*E5,0))</f>
        <v/>
      </c>
      <c r="K5" s="17">
        <f>IF(A5="","",H5-J5)</f>
        <v/>
      </c>
      <c r="L5" s="18">
        <f>IF(A5="","",IFERROR(K5/J5,""))</f>
        <v/>
      </c>
      <c r="M5" s="19">
        <f>IF(A5="","",IFERROR(GOOGLEFINANCE(A5,"beta"),""))</f>
        <v/>
      </c>
    </row>
    <row r="6">
      <c r="A6" s="15" t="inlineStr">
        <is>
          <t>MSFT</t>
        </is>
      </c>
      <c r="B6">
        <f>IF(A6="","",IFERROR(GOOGLEFINANCE(A6,"name"),""))</f>
        <v/>
      </c>
      <c r="C6" s="15" t="inlineStr">
        <is>
          <t>Information Technology</t>
        </is>
      </c>
      <c r="D6" s="16">
        <f>IF(A6="","",SUMIFS(Trades!$G$5:$G$204,Trades!$B$5:$B$204,A6))</f>
        <v/>
      </c>
      <c r="E6" s="17">
        <f>IF(A6="","",IFERROR(SUMPRODUCT((Trades!$B$5:$B$204=A6)*(Trades!$C$5:$C$204="BUY"),Trades!$D$5:$D$204,Trades!$E$5:$E$204)/SUMIFS(Trades!$D$5:$D$204,Trades!$B$5:$B$204,A6,Trades!$C$5:$C$204,"BUY"),""))</f>
        <v/>
      </c>
      <c r="F6" s="17">
        <f>IF(A6="","",IFERROR(GOOGLEFINANCE(A6),""))</f>
        <v/>
      </c>
      <c r="G6" s="18">
        <f>IF(A6="","",IFERROR(GOOGLEFINANCE(A6,"changepct")/100,""))</f>
        <v/>
      </c>
      <c r="H6" s="17">
        <f>IF(A6="","",IFERROR(D6*F6,0))</f>
        <v/>
      </c>
      <c r="I6" s="18">
        <f>IF(A6="","",IFERROR(H6/$H$17,""))</f>
        <v/>
      </c>
      <c r="J6" s="17">
        <f>IF(A6="","",IFERROR(D6*E6,0))</f>
        <v/>
      </c>
      <c r="K6" s="17">
        <f>IF(A6="","",H6-J6)</f>
        <v/>
      </c>
      <c r="L6" s="18">
        <f>IF(A6="","",IFERROR(K6/J6,""))</f>
        <v/>
      </c>
      <c r="M6" s="19">
        <f>IF(A6="","",IFERROR(GOOGLEFINANCE(A6,"beta"),""))</f>
        <v/>
      </c>
    </row>
    <row r="7">
      <c r="A7" s="15" t="inlineStr">
        <is>
          <t>JPM</t>
        </is>
      </c>
      <c r="B7">
        <f>IF(A7="","",IFERROR(GOOGLEFINANCE(A7,"name"),""))</f>
        <v/>
      </c>
      <c r="C7" s="15" t="inlineStr">
        <is>
          <t>Financials</t>
        </is>
      </c>
      <c r="D7" s="16">
        <f>IF(A7="","",SUMIFS(Trades!$G$5:$G$204,Trades!$B$5:$B$204,A7))</f>
        <v/>
      </c>
      <c r="E7" s="17">
        <f>IF(A7="","",IFERROR(SUMPRODUCT((Trades!$B$5:$B$204=A7)*(Trades!$C$5:$C$204="BUY"),Trades!$D$5:$D$204,Trades!$E$5:$E$204)/SUMIFS(Trades!$D$5:$D$204,Trades!$B$5:$B$204,A7,Trades!$C$5:$C$204,"BUY"),""))</f>
        <v/>
      </c>
      <c r="F7" s="17">
        <f>IF(A7="","",IFERROR(GOOGLEFINANCE(A7),""))</f>
        <v/>
      </c>
      <c r="G7" s="18">
        <f>IF(A7="","",IFERROR(GOOGLEFINANCE(A7,"changepct")/100,""))</f>
        <v/>
      </c>
      <c r="H7" s="17">
        <f>IF(A7="","",IFERROR(D7*F7,0))</f>
        <v/>
      </c>
      <c r="I7" s="18">
        <f>IF(A7="","",IFERROR(H7/$H$17,""))</f>
        <v/>
      </c>
      <c r="J7" s="17">
        <f>IF(A7="","",IFERROR(D7*E7,0))</f>
        <v/>
      </c>
      <c r="K7" s="17">
        <f>IF(A7="","",H7-J7)</f>
        <v/>
      </c>
      <c r="L7" s="18">
        <f>IF(A7="","",IFERROR(K7/J7,""))</f>
        <v/>
      </c>
      <c r="M7" s="19">
        <f>IF(A7="","",IFERROR(GOOGLEFINANCE(A7,"beta"),""))</f>
        <v/>
      </c>
    </row>
    <row r="8">
      <c r="A8" s="15" t="inlineStr">
        <is>
          <t>XOM</t>
        </is>
      </c>
      <c r="B8">
        <f>IF(A8="","",IFERROR(GOOGLEFINANCE(A8,"name"),""))</f>
        <v/>
      </c>
      <c r="C8" s="15" t="inlineStr">
        <is>
          <t>Energy</t>
        </is>
      </c>
      <c r="D8" s="16">
        <f>IF(A8="","",SUMIFS(Trades!$G$5:$G$204,Trades!$B$5:$B$204,A8))</f>
        <v/>
      </c>
      <c r="E8" s="17">
        <f>IF(A8="","",IFERROR(SUMPRODUCT((Trades!$B$5:$B$204=A8)*(Trades!$C$5:$C$204="BUY"),Trades!$D$5:$D$204,Trades!$E$5:$E$204)/SUMIFS(Trades!$D$5:$D$204,Trades!$B$5:$B$204,A8,Trades!$C$5:$C$204,"BUY"),""))</f>
        <v/>
      </c>
      <c r="F8" s="17">
        <f>IF(A8="","",IFERROR(GOOGLEFINANCE(A8),""))</f>
        <v/>
      </c>
      <c r="G8" s="18">
        <f>IF(A8="","",IFERROR(GOOGLEFINANCE(A8,"changepct")/100,""))</f>
        <v/>
      </c>
      <c r="H8" s="17">
        <f>IF(A8="","",IFERROR(D8*F8,0))</f>
        <v/>
      </c>
      <c r="I8" s="18">
        <f>IF(A8="","",IFERROR(H8/$H$17,""))</f>
        <v/>
      </c>
      <c r="J8" s="17">
        <f>IF(A8="","",IFERROR(D8*E8,0))</f>
        <v/>
      </c>
      <c r="K8" s="17">
        <f>IF(A8="","",H8-J8)</f>
        <v/>
      </c>
      <c r="L8" s="18">
        <f>IF(A8="","",IFERROR(K8/J8,""))</f>
        <v/>
      </c>
      <c r="M8" s="19">
        <f>IF(A8="","",IFERROR(GOOGLEFINANCE(A8,"beta"),""))</f>
        <v/>
      </c>
    </row>
    <row r="9">
      <c r="A9" s="15" t="inlineStr">
        <is>
          <t>PG</t>
        </is>
      </c>
      <c r="B9">
        <f>IF(A9="","",IFERROR(GOOGLEFINANCE(A9,"name"),""))</f>
        <v/>
      </c>
      <c r="C9" s="15" t="inlineStr">
        <is>
          <t>Consumer Staples</t>
        </is>
      </c>
      <c r="D9" s="16">
        <f>IF(A9="","",SUMIFS(Trades!$G$5:$G$204,Trades!$B$5:$B$204,A9))</f>
        <v/>
      </c>
      <c r="E9" s="17">
        <f>IF(A9="","",IFERROR(SUMPRODUCT((Trades!$B$5:$B$204=A9)*(Trades!$C$5:$C$204="BUY"),Trades!$D$5:$D$204,Trades!$E$5:$E$204)/SUMIFS(Trades!$D$5:$D$204,Trades!$B$5:$B$204,A9,Trades!$C$5:$C$204,"BUY"),""))</f>
        <v/>
      </c>
      <c r="F9" s="17">
        <f>IF(A9="","",IFERROR(GOOGLEFINANCE(A9),""))</f>
        <v/>
      </c>
      <c r="G9" s="18">
        <f>IF(A9="","",IFERROR(GOOGLEFINANCE(A9,"changepct")/100,""))</f>
        <v/>
      </c>
      <c r="H9" s="17">
        <f>IF(A9="","",IFERROR(D9*F9,0))</f>
        <v/>
      </c>
      <c r="I9" s="18">
        <f>IF(A9="","",IFERROR(H9/$H$17,""))</f>
        <v/>
      </c>
      <c r="J9" s="17">
        <f>IF(A9="","",IFERROR(D9*E9,0))</f>
        <v/>
      </c>
      <c r="K9" s="17">
        <f>IF(A9="","",H9-J9)</f>
        <v/>
      </c>
      <c r="L9" s="18">
        <f>IF(A9="","",IFERROR(K9/J9,""))</f>
        <v/>
      </c>
      <c r="M9" s="19">
        <f>IF(A9="","",IFERROR(GOOGLEFINANCE(A9,"beta"),""))</f>
        <v/>
      </c>
    </row>
    <row r="10">
      <c r="A10" s="15" t="inlineStr">
        <is>
          <t>UNH</t>
        </is>
      </c>
      <c r="B10">
        <f>IF(A10="","",IFERROR(GOOGLEFINANCE(A10,"name"),""))</f>
        <v/>
      </c>
      <c r="C10" s="15" t="inlineStr">
        <is>
          <t>Health Care</t>
        </is>
      </c>
      <c r="D10" s="16">
        <f>IF(A10="","",SUMIFS(Trades!$G$5:$G$204,Trades!$B$5:$B$204,A10))</f>
        <v/>
      </c>
      <c r="E10" s="17">
        <f>IF(A10="","",IFERROR(SUMPRODUCT((Trades!$B$5:$B$204=A10)*(Trades!$C$5:$C$204="BUY"),Trades!$D$5:$D$204,Trades!$E$5:$E$204)/SUMIFS(Trades!$D$5:$D$204,Trades!$B$5:$B$204,A10,Trades!$C$5:$C$204,"BUY"),""))</f>
        <v/>
      </c>
      <c r="F10" s="17">
        <f>IF(A10="","",IFERROR(GOOGLEFINANCE(A10),""))</f>
        <v/>
      </c>
      <c r="G10" s="18">
        <f>IF(A10="","",IFERROR(GOOGLEFINANCE(A10,"changepct")/100,""))</f>
        <v/>
      </c>
      <c r="H10" s="17">
        <f>IF(A10="","",IFERROR(D10*F10,0))</f>
        <v/>
      </c>
      <c r="I10" s="18">
        <f>IF(A10="","",IFERROR(H10/$H$17,""))</f>
        <v/>
      </c>
      <c r="J10" s="17">
        <f>IF(A10="","",IFERROR(D10*E10,0))</f>
        <v/>
      </c>
      <c r="K10" s="17">
        <f>IF(A10="","",H10-J10)</f>
        <v/>
      </c>
      <c r="L10" s="18">
        <f>IF(A10="","",IFERROR(K10/J10,""))</f>
        <v/>
      </c>
      <c r="M10" s="19">
        <f>IF(A10="","",IFERROR(GOOGLEFINANCE(A10,"beta"),""))</f>
        <v/>
      </c>
    </row>
    <row r="11">
      <c r="A11" s="15" t="inlineStr">
        <is>
          <t>CAT</t>
        </is>
      </c>
      <c r="B11">
        <f>IF(A11="","",IFERROR(GOOGLEFINANCE(A11,"name"),""))</f>
        <v/>
      </c>
      <c r="C11" s="15" t="inlineStr">
        <is>
          <t>Industrials</t>
        </is>
      </c>
      <c r="D11" s="16">
        <f>IF(A11="","",SUMIFS(Trades!$G$5:$G$204,Trades!$B$5:$B$204,A11))</f>
        <v/>
      </c>
      <c r="E11" s="17">
        <f>IF(A11="","",IFERROR(SUMPRODUCT((Trades!$B$5:$B$204=A11)*(Trades!$C$5:$C$204="BUY"),Trades!$D$5:$D$204,Trades!$E$5:$E$204)/SUMIFS(Trades!$D$5:$D$204,Trades!$B$5:$B$204,A11,Trades!$C$5:$C$204,"BUY"),""))</f>
        <v/>
      </c>
      <c r="F11" s="17">
        <f>IF(A11="","",IFERROR(GOOGLEFINANCE(A11),""))</f>
        <v/>
      </c>
      <c r="G11" s="18">
        <f>IF(A11="","",IFERROR(GOOGLEFINANCE(A11,"changepct")/100,""))</f>
        <v/>
      </c>
      <c r="H11" s="17">
        <f>IF(A11="","",IFERROR(D11*F11,0))</f>
        <v/>
      </c>
      <c r="I11" s="18">
        <f>IF(A11="","",IFERROR(H11/$H$17,""))</f>
        <v/>
      </c>
      <c r="J11" s="17">
        <f>IF(A11="","",IFERROR(D11*E11,0))</f>
        <v/>
      </c>
      <c r="K11" s="17">
        <f>IF(A11="","",H11-J11)</f>
        <v/>
      </c>
      <c r="L11" s="18">
        <f>IF(A11="","",IFERROR(K11/J11,""))</f>
        <v/>
      </c>
      <c r="M11" s="19">
        <f>IF(A11="","",IFERROR(GOOGLEFINANCE(A11,"beta"),""))</f>
        <v/>
      </c>
    </row>
    <row r="12">
      <c r="A12" s="15" t="inlineStr">
        <is>
          <t>NEE</t>
        </is>
      </c>
      <c r="B12">
        <f>IF(A12="","",IFERROR(GOOGLEFINANCE(A12,"name"),""))</f>
        <v/>
      </c>
      <c r="C12" s="15" t="inlineStr">
        <is>
          <t>Utilities</t>
        </is>
      </c>
      <c r="D12" s="16">
        <f>IF(A12="","",SUMIFS(Trades!$G$5:$G$204,Trades!$B$5:$B$204,A12))</f>
        <v/>
      </c>
      <c r="E12" s="17">
        <f>IF(A12="","",IFERROR(SUMPRODUCT((Trades!$B$5:$B$204=A12)*(Trades!$C$5:$C$204="BUY"),Trades!$D$5:$D$204,Trades!$E$5:$E$204)/SUMIFS(Trades!$D$5:$D$204,Trades!$B$5:$B$204,A12,Trades!$C$5:$C$204,"BUY"),""))</f>
        <v/>
      </c>
      <c r="F12" s="17">
        <f>IF(A12="","",IFERROR(GOOGLEFINANCE(A12),""))</f>
        <v/>
      </c>
      <c r="G12" s="18">
        <f>IF(A12="","",IFERROR(GOOGLEFINANCE(A12,"changepct")/100,""))</f>
        <v/>
      </c>
      <c r="H12" s="17">
        <f>IF(A12="","",IFERROR(D12*F12,0))</f>
        <v/>
      </c>
      <c r="I12" s="18">
        <f>IF(A12="","",IFERROR(H12/$H$17,""))</f>
        <v/>
      </c>
      <c r="J12" s="17">
        <f>IF(A12="","",IFERROR(D12*E12,0))</f>
        <v/>
      </c>
      <c r="K12" s="17">
        <f>IF(A12="","",H12-J12)</f>
        <v/>
      </c>
      <c r="L12" s="18">
        <f>IF(A12="","",IFERROR(K12/J12,""))</f>
        <v/>
      </c>
      <c r="M12" s="19">
        <f>IF(A12="","",IFERROR(GOOGLEFINANCE(A12,"beta"),""))</f>
        <v/>
      </c>
    </row>
    <row r="13">
      <c r="A13" s="15" t="n"/>
      <c r="B13">
        <f>IF(A13="","",IFERROR(GOOGLEFINANCE(A13,"name"),""))</f>
        <v/>
      </c>
      <c r="C13" s="15" t="n"/>
      <c r="D13" s="16">
        <f>IF(A13="","",SUMIFS(Trades!$G$5:$G$204,Trades!$B$5:$B$204,A13))</f>
        <v/>
      </c>
      <c r="E13" s="17">
        <f>IF(A13="","",IFERROR(SUMPRODUCT((Trades!$B$5:$B$204=A13)*(Trades!$C$5:$C$204="BUY"),Trades!$D$5:$D$204,Trades!$E$5:$E$204)/SUMIFS(Trades!$D$5:$D$204,Trades!$B$5:$B$204,A13,Trades!$C$5:$C$204,"BUY"),""))</f>
        <v/>
      </c>
      <c r="F13" s="17">
        <f>IF(A13="","",IFERROR(GOOGLEFINANCE(A13),""))</f>
        <v/>
      </c>
      <c r="G13" s="18">
        <f>IF(A13="","",IFERROR(GOOGLEFINANCE(A13,"changepct")/100,""))</f>
        <v/>
      </c>
      <c r="H13" s="17">
        <f>IF(A13="","",IFERROR(D13*F13,0))</f>
        <v/>
      </c>
      <c r="I13" s="18">
        <f>IF(A13="","",IFERROR(H13/$H$17,""))</f>
        <v/>
      </c>
      <c r="J13" s="17">
        <f>IF(A13="","",IFERROR(D13*E13,0))</f>
        <v/>
      </c>
      <c r="K13" s="17">
        <f>IF(A13="","",H13-J13)</f>
        <v/>
      </c>
      <c r="L13" s="18">
        <f>IF(A13="","",IFERROR(K13/J13,""))</f>
        <v/>
      </c>
      <c r="M13" s="19">
        <f>IF(A13="","",IFERROR(GOOGLEFINANCE(A13,"beta"),""))</f>
        <v/>
      </c>
    </row>
    <row r="14">
      <c r="A14" s="15" t="n"/>
      <c r="B14">
        <f>IF(A14="","",IFERROR(GOOGLEFINANCE(A14,"name"),""))</f>
        <v/>
      </c>
      <c r="C14" s="15" t="n"/>
      <c r="D14" s="16">
        <f>IF(A14="","",SUMIFS(Trades!$G$5:$G$204,Trades!$B$5:$B$204,A14))</f>
        <v/>
      </c>
      <c r="E14" s="17">
        <f>IF(A14="","",IFERROR(SUMPRODUCT((Trades!$B$5:$B$204=A14)*(Trades!$C$5:$C$204="BUY"),Trades!$D$5:$D$204,Trades!$E$5:$E$204)/SUMIFS(Trades!$D$5:$D$204,Trades!$B$5:$B$204,A14,Trades!$C$5:$C$204,"BUY"),""))</f>
        <v/>
      </c>
      <c r="F14" s="17">
        <f>IF(A14="","",IFERROR(GOOGLEFINANCE(A14),""))</f>
        <v/>
      </c>
      <c r="G14" s="18">
        <f>IF(A14="","",IFERROR(GOOGLEFINANCE(A14,"changepct")/100,""))</f>
        <v/>
      </c>
      <c r="H14" s="17">
        <f>IF(A14="","",IFERROR(D14*F14,0))</f>
        <v/>
      </c>
      <c r="I14" s="18">
        <f>IF(A14="","",IFERROR(H14/$H$17,""))</f>
        <v/>
      </c>
      <c r="J14" s="17">
        <f>IF(A14="","",IFERROR(D14*E14,0))</f>
        <v/>
      </c>
      <c r="K14" s="17">
        <f>IF(A14="","",H14-J14)</f>
        <v/>
      </c>
      <c r="L14" s="18">
        <f>IF(A14="","",IFERROR(K14/J14,""))</f>
        <v/>
      </c>
      <c r="M14" s="19">
        <f>IF(A14="","",IFERROR(GOOGLEFINANCE(A14,"beta"),""))</f>
        <v/>
      </c>
    </row>
    <row r="15">
      <c r="A15" s="20" t="inlineStr">
        <is>
          <t>Total equities</t>
        </is>
      </c>
      <c r="B15" s="21" t="n"/>
      <c r="C15" s="21" t="n"/>
      <c r="D15" s="21" t="n"/>
      <c r="E15" s="21" t="n"/>
      <c r="F15" s="21" t="n"/>
      <c r="G15" s="21" t="n"/>
      <c r="H15" s="22">
        <f>SUM(H5:H14)</f>
        <v/>
      </c>
      <c r="I15" s="23">
        <f>IFERROR(H15/H17,0)</f>
        <v/>
      </c>
      <c r="J15" s="22">
        <f>SUM(J5:J14)</f>
        <v/>
      </c>
      <c r="K15" s="22">
        <f>H15-J15</f>
        <v/>
      </c>
      <c r="L15" s="23">
        <f>IFERROR(K15/J15,0)</f>
        <v/>
      </c>
      <c r="M15" s="21" t="n"/>
    </row>
    <row r="16">
      <c r="A16" s="20" t="inlineStr">
        <is>
          <t>Cash</t>
        </is>
      </c>
      <c r="B16" s="21" t="n"/>
      <c r="C16" s="21" t="n"/>
      <c r="D16" s="21" t="n"/>
      <c r="E16" s="21" t="n"/>
      <c r="F16" s="21" t="n"/>
      <c r="G16" s="21" t="n"/>
      <c r="H16" s="22">
        <f>Settings!$B$6+SUM(Trades!$H$5:$H$204)</f>
        <v/>
      </c>
      <c r="I16" s="23">
        <f>IFERROR(H16/H17,0)</f>
        <v/>
      </c>
      <c r="J16" s="22" t="n"/>
      <c r="K16" s="22" t="n"/>
      <c r="L16" s="23" t="n"/>
      <c r="M16" s="21" t="n"/>
    </row>
    <row r="17">
      <c r="A17" s="20" t="inlineStr">
        <is>
          <t>Total portfolio</t>
        </is>
      </c>
      <c r="B17" s="21" t="n"/>
      <c r="C17" s="21" t="n"/>
      <c r="D17" s="21" t="n"/>
      <c r="E17" s="21" t="n"/>
      <c r="F17" s="21" t="n"/>
      <c r="G17" s="21" t="n"/>
      <c r="H17" s="22">
        <f>H15+H16</f>
        <v/>
      </c>
      <c r="I17" s="23">
        <f>H15/H17+I16</f>
        <v/>
      </c>
      <c r="J17" s="22" t="n"/>
      <c r="K17" s="22" t="n"/>
      <c r="L17" s="23" t="n"/>
      <c r="M17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11" customWidth="1" min="5" max="5"/>
    <col width="8" customWidth="1" min="6" max="6"/>
    <col width="9" customWidth="1" min="7" max="7"/>
    <col width="13" customWidth="1" min="8" max="8"/>
    <col width="46" customWidth="1" min="9" max="9"/>
    <col width="28" customWidth="1" min="10" max="10"/>
    <col width="28" customWidth="1" min="11" max="11"/>
    <col width="34" customWidth="1" min="12" max="12"/>
  </cols>
  <sheetData>
    <row r="1">
      <c r="A1" s="1" t="inlineStr">
        <is>
          <t>Trade Log &amp; Investment Thesis</t>
        </is>
      </c>
    </row>
    <row r="2">
      <c r="A2" s="14" t="inlineStr">
        <is>
          <t>Log every buy/sell with the reasoning behind it. Price defaults to that day's close via GOOGLEFINANCE; overwrite it with your actual fill if you have one.</t>
        </is>
      </c>
    </row>
    <row r="4">
      <c r="A4" s="5" t="inlineStr">
        <is>
          <t>Date</t>
        </is>
      </c>
      <c r="B4" s="5" t="inlineStr">
        <is>
          <t>Ticker</t>
        </is>
      </c>
      <c r="C4" s="5" t="inlineStr">
        <is>
          <t>Action</t>
        </is>
      </c>
      <c r="D4" s="5" t="inlineStr">
        <is>
          <t>Shares</t>
        </is>
      </c>
      <c r="E4" s="5" t="inlineStr">
        <is>
          <t>Price</t>
        </is>
      </c>
      <c r="F4" s="5" t="inlineStr">
        <is>
          <t>Fees</t>
        </is>
      </c>
      <c r="G4" s="5" t="inlineStr">
        <is>
          <t>Signed shares</t>
        </is>
      </c>
      <c r="H4" s="5" t="inlineStr">
        <is>
          <t>Cash flow</t>
        </is>
      </c>
      <c r="I4" s="5" t="inlineStr">
        <is>
          <t>Thesis</t>
        </is>
      </c>
      <c r="J4" s="5" t="inlineStr">
        <is>
          <t>Catalyst</t>
        </is>
      </c>
      <c r="K4" s="5" t="inlineStr">
        <is>
          <t>Key risk</t>
        </is>
      </c>
      <c r="L4" s="5" t="inlineStr">
        <is>
          <t>Exit / review trigger</t>
        </is>
      </c>
    </row>
    <row r="5">
      <c r="A5" s="24" t="n">
        <v>46024</v>
      </c>
      <c r="B5" s="15" t="inlineStr">
        <is>
          <t>AAPL</t>
        </is>
      </c>
      <c r="C5" s="15" t="inlineStr">
        <is>
          <t>BUY</t>
        </is>
      </c>
      <c r="D5" s="15" t="n">
        <v>40</v>
      </c>
      <c r="E5" s="25">
        <f>IFERROR(INDEX(GOOGLEFINANCE(B5,"close",A5),2,2),"")</f>
        <v/>
      </c>
      <c r="F5" s="25" t="n">
        <v>0</v>
      </c>
      <c r="G5" s="16">
        <f>ARRAYFORMULA(IF(B5:B204="",,IF(C5:C204="SELL",-D5:D204,D5:D204)))</f>
        <v/>
      </c>
      <c r="H5" s="17">
        <f>ARRAYFORMULA(IF(B5:B204="",,-G5:G204*E5:E204-F5:F204))</f>
        <v/>
      </c>
      <c r="I5" s="26" t="inlineStr">
        <is>
          <t>Example: cash-generative mega-cap; services mix supports margins</t>
        </is>
      </c>
      <c r="J5" s="26" t="inlineStr">
        <is>
          <t>Next earnings / product cycle</t>
        </is>
      </c>
      <c r="K5" s="26" t="inlineStr">
        <is>
          <t>Hardware demand slowdown</t>
        </is>
      </c>
      <c r="L5" s="26" t="inlineStr">
        <is>
          <t>Sell if services growth stalls two quarters in a row</t>
        </is>
      </c>
    </row>
    <row r="6">
      <c r="A6" s="24" t="n">
        <v>46024</v>
      </c>
      <c r="B6" s="15" t="inlineStr">
        <is>
          <t>MSFT</t>
        </is>
      </c>
      <c r="C6" s="15" t="inlineStr">
        <is>
          <t>BUY</t>
        </is>
      </c>
      <c r="D6" s="15" t="n">
        <v>20</v>
      </c>
      <c r="E6" s="25">
        <f>IFERROR(INDEX(GOOGLEFINANCE(B6,"close",A6),2,2),"")</f>
        <v/>
      </c>
      <c r="F6" s="25" t="n">
        <v>0</v>
      </c>
      <c r="G6" s="16" t="n"/>
      <c r="H6" s="17" t="n"/>
      <c r="I6" s="26" t="inlineStr">
        <is>
          <t>Example: cloud + enterprise software compounder</t>
        </is>
      </c>
      <c r="J6" s="26" t="inlineStr">
        <is>
          <t>Cloud growth at earnings</t>
        </is>
      </c>
      <c r="K6" s="26" t="inlineStr">
        <is>
          <t>AI capex not earning a return</t>
        </is>
      </c>
      <c r="L6" s="26" t="inlineStr">
        <is>
          <t>Trim if weight exceeds 15%</t>
        </is>
      </c>
    </row>
    <row r="7">
      <c r="A7" s="24" t="n">
        <v>46024</v>
      </c>
      <c r="B7" s="15" t="inlineStr">
        <is>
          <t>JPM</t>
        </is>
      </c>
      <c r="C7" s="15" t="inlineStr">
        <is>
          <t>BUY</t>
        </is>
      </c>
      <c r="D7" s="15" t="n">
        <v>32</v>
      </c>
      <c r="E7" s="25">
        <f>IFERROR(INDEX(GOOGLEFINANCE(B7,"close",A7),2,2),"")</f>
        <v/>
      </c>
      <c r="F7" s="25" t="n">
        <v>0</v>
      </c>
      <c r="G7" s="16" t="n"/>
      <c r="H7" s="17" t="n"/>
      <c r="I7" s="26" t="inlineStr">
        <is>
          <t>Example: best-in-class bank, benefits from higher-for-longer rates</t>
        </is>
      </c>
      <c r="J7" s="26" t="inlineStr">
        <is>
          <t>Net interest income guidance</t>
        </is>
      </c>
      <c r="K7" s="26" t="inlineStr">
        <is>
          <t>Credit losses rise in a slowdown</t>
        </is>
      </c>
      <c r="L7" s="26" t="inlineStr">
        <is>
          <t>Review if rate cuts compress NII</t>
        </is>
      </c>
    </row>
    <row r="8">
      <c r="A8" s="24" t="n">
        <v>46024</v>
      </c>
      <c r="B8" s="15" t="inlineStr">
        <is>
          <t>XOM</t>
        </is>
      </c>
      <c r="C8" s="15" t="inlineStr">
        <is>
          <t>BUY</t>
        </is>
      </c>
      <c r="D8" s="15" t="n">
        <v>85</v>
      </c>
      <c r="E8" s="25">
        <f>IFERROR(INDEX(GOOGLEFINANCE(B8,"close",A8),2,2),"")</f>
        <v/>
      </c>
      <c r="F8" s="25" t="n">
        <v>0</v>
      </c>
      <c r="G8" s="16" t="n"/>
      <c r="H8" s="17" t="n"/>
      <c r="I8" s="26" t="inlineStr">
        <is>
          <t>Example: energy exposure as an inflation hedge</t>
        </is>
      </c>
      <c r="J8" s="26" t="inlineStr">
        <is>
          <t>Oil price / OPEC decisions</t>
        </is>
      </c>
      <c r="K8" s="26" t="inlineStr">
        <is>
          <t>Oil price collapse</t>
        </is>
      </c>
      <c r="L8" s="26" t="inlineStr">
        <is>
          <t>Cut if position falls 15% below cost</t>
        </is>
      </c>
    </row>
    <row r="9">
      <c r="A9" s="24" t="n">
        <v>46024</v>
      </c>
      <c r="B9" s="15" t="inlineStr">
        <is>
          <t>PG</t>
        </is>
      </c>
      <c r="C9" s="15" t="inlineStr">
        <is>
          <t>BUY</t>
        </is>
      </c>
      <c r="D9" s="15" t="n">
        <v>65</v>
      </c>
      <c r="E9" s="25">
        <f>IFERROR(INDEX(GOOGLEFINANCE(B9,"close",A9),2,2),"")</f>
        <v/>
      </c>
      <c r="F9" s="25" t="n">
        <v>0</v>
      </c>
      <c r="G9" s="16" t="n"/>
      <c r="H9" s="17" t="n"/>
      <c r="I9" s="26" t="inlineStr">
        <is>
          <t>Example: low-beta defensive ballast</t>
        </is>
      </c>
      <c r="J9" s="26" t="inlineStr">
        <is>
          <t>Pricing power in quarterly results</t>
        </is>
      </c>
      <c r="K9" s="26" t="inlineStr">
        <is>
          <t>Volume declines from price hikes</t>
        </is>
      </c>
      <c r="L9" s="26" t="inlineStr">
        <is>
          <t>Hold as long as it lowers portfolio beta</t>
        </is>
      </c>
    </row>
    <row r="10">
      <c r="A10" s="24" t="n">
        <v>46024</v>
      </c>
      <c r="B10" s="15" t="inlineStr">
        <is>
          <t>UNH</t>
        </is>
      </c>
      <c r="C10" s="15" t="inlineStr">
        <is>
          <t>BUY</t>
        </is>
      </c>
      <c r="D10" s="15" t="n">
        <v>30</v>
      </c>
      <c r="E10" s="25">
        <f>IFERROR(INDEX(GOOGLEFINANCE(B10,"close",A10),2,2),"")</f>
        <v/>
      </c>
      <c r="F10" s="25" t="n">
        <v>0</v>
      </c>
      <c r="G10" s="16" t="n"/>
      <c r="H10" s="17" t="n"/>
      <c r="I10" s="26" t="inlineStr">
        <is>
          <t>Example: healthcare diversification</t>
        </is>
      </c>
      <c r="J10" s="26" t="inlineStr">
        <is>
          <t>Medical cost trend updates</t>
        </is>
      </c>
      <c r="K10" s="26" t="inlineStr">
        <is>
          <t>Regulatory / reimbursement changes</t>
        </is>
      </c>
      <c r="L10" s="26" t="inlineStr">
        <is>
          <t>Exit on a guidance cut</t>
        </is>
      </c>
    </row>
    <row r="11">
      <c r="A11" s="24" t="n">
        <v>46024</v>
      </c>
      <c r="B11" s="15" t="inlineStr">
        <is>
          <t>CAT</t>
        </is>
      </c>
      <c r="C11" s="15" t="inlineStr">
        <is>
          <t>BUY</t>
        </is>
      </c>
      <c r="D11" s="15" t="n">
        <v>18</v>
      </c>
      <c r="E11" s="25">
        <f>IFERROR(INDEX(GOOGLEFINANCE(B11,"close",A11),2,2),"")</f>
        <v/>
      </c>
      <c r="F11" s="25" t="n">
        <v>0</v>
      </c>
      <c r="G11" s="16" t="n"/>
      <c r="H11" s="17" t="n"/>
      <c r="I11" s="26" t="inlineStr">
        <is>
          <t>Example: cyclical play on infrastructure spending</t>
        </is>
      </c>
      <c r="J11" s="26" t="inlineStr">
        <is>
          <t>Order backlog at earnings</t>
        </is>
      </c>
      <c r="K11" s="26" t="inlineStr">
        <is>
          <t>Industrial recession</t>
        </is>
      </c>
      <c r="L11" s="26" t="inlineStr">
        <is>
          <t>Trim if backlog shrinks</t>
        </is>
      </c>
    </row>
    <row r="12">
      <c r="A12" s="24" t="n">
        <v>46024</v>
      </c>
      <c r="B12" s="15" t="inlineStr">
        <is>
          <t>NEE</t>
        </is>
      </c>
      <c r="C12" s="15" t="inlineStr">
        <is>
          <t>BUY</t>
        </is>
      </c>
      <c r="D12" s="15" t="n">
        <v>130</v>
      </c>
      <c r="E12" s="25">
        <f>IFERROR(INDEX(GOOGLEFINANCE(B12,"close",A12),2,2),"")</f>
        <v/>
      </c>
      <c r="F12" s="25" t="n">
        <v>0</v>
      </c>
      <c r="G12" s="16" t="n"/>
      <c r="H12" s="17" t="n"/>
      <c r="I12" s="26" t="inlineStr">
        <is>
          <t>Example: utilities exposure and rate sensitivity</t>
        </is>
      </c>
      <c r="J12" s="26" t="inlineStr">
        <is>
          <t>Rate cuts</t>
        </is>
      </c>
      <c r="K12" s="26" t="inlineStr">
        <is>
          <t>Rates stay high</t>
        </is>
      </c>
      <c r="L12" s="26" t="inlineStr">
        <is>
          <t>Review if 10y yield rises sharply</t>
        </is>
      </c>
    </row>
    <row r="13">
      <c r="A13" s="24" t="n">
        <v>46174</v>
      </c>
      <c r="B13" s="15" t="inlineStr">
        <is>
          <t>XOM</t>
        </is>
      </c>
      <c r="C13" s="15" t="inlineStr">
        <is>
          <t>SELL</t>
        </is>
      </c>
      <c r="D13" s="15" t="n">
        <v>25</v>
      </c>
      <c r="E13" s="25">
        <f>IFERROR(INDEX(GOOGLEFINANCE(B13,"close",A13),2,2),"")</f>
        <v/>
      </c>
      <c r="F13" s="25" t="n">
        <v>0</v>
      </c>
      <c r="G13" s="16" t="n"/>
      <c r="H13" s="17" t="n"/>
      <c r="I13" s="26" t="inlineStr">
        <is>
          <t>Example: trim to rebalance energy weight</t>
        </is>
      </c>
      <c r="J13" s="26" t="n"/>
      <c r="K13" s="26" t="n"/>
      <c r="L13" s="26" t="n"/>
    </row>
    <row r="14">
      <c r="A14" s="24" t="n"/>
      <c r="B14" s="15" t="n"/>
      <c r="C14" s="15" t="n"/>
      <c r="D14" s="15" t="n"/>
      <c r="E14" s="25" t="n"/>
      <c r="F14" s="25" t="n"/>
      <c r="G14" s="16" t="n"/>
      <c r="H14" s="17" t="n"/>
      <c r="I14" s="26" t="n"/>
      <c r="J14" s="26" t="n"/>
      <c r="K14" s="26" t="n"/>
      <c r="L14" s="26" t="n"/>
    </row>
    <row r="15">
      <c r="A15" s="24" t="n"/>
      <c r="B15" s="15" t="n"/>
      <c r="C15" s="15" t="n"/>
      <c r="D15" s="15" t="n"/>
      <c r="E15" s="25" t="n"/>
      <c r="F15" s="25" t="n"/>
      <c r="G15" s="16" t="n"/>
      <c r="H15" s="17" t="n"/>
      <c r="I15" s="26" t="n"/>
      <c r="J15" s="26" t="n"/>
      <c r="K15" s="26" t="n"/>
      <c r="L15" s="26" t="n"/>
    </row>
    <row r="16">
      <c r="A16" s="24" t="n"/>
      <c r="B16" s="15" t="n"/>
      <c r="C16" s="15" t="n"/>
      <c r="D16" s="15" t="n"/>
      <c r="E16" s="25" t="n"/>
      <c r="F16" s="25" t="n"/>
      <c r="G16" s="16" t="n"/>
      <c r="H16" s="17" t="n"/>
      <c r="I16" s="26" t="n"/>
      <c r="J16" s="26" t="n"/>
      <c r="K16" s="26" t="n"/>
      <c r="L16" s="26" t="n"/>
    </row>
    <row r="17">
      <c r="A17" s="24" t="n"/>
      <c r="B17" s="15" t="n"/>
      <c r="C17" s="15" t="n"/>
      <c r="D17" s="15" t="n"/>
      <c r="E17" s="25" t="n"/>
      <c r="F17" s="25" t="n"/>
      <c r="G17" s="16" t="n"/>
      <c r="H17" s="17" t="n"/>
      <c r="I17" s="26" t="n"/>
      <c r="J17" s="26" t="n"/>
      <c r="K17" s="26" t="n"/>
      <c r="L17" s="26" t="n"/>
    </row>
    <row r="18">
      <c r="A18" s="24" t="n"/>
      <c r="B18" s="15" t="n"/>
      <c r="C18" s="15" t="n"/>
      <c r="D18" s="15" t="n"/>
      <c r="E18" s="25" t="n"/>
      <c r="F18" s="25" t="n"/>
      <c r="G18" s="16" t="n"/>
      <c r="H18" s="17" t="n"/>
      <c r="I18" s="26" t="n"/>
      <c r="J18" s="26" t="n"/>
      <c r="K18" s="26" t="n"/>
      <c r="L18" s="26" t="n"/>
    </row>
    <row r="19">
      <c r="A19" s="24" t="n"/>
      <c r="B19" s="15" t="n"/>
      <c r="C19" s="15" t="n"/>
      <c r="D19" s="15" t="n"/>
      <c r="E19" s="25" t="n"/>
      <c r="F19" s="25" t="n"/>
      <c r="G19" s="16" t="n"/>
      <c r="H19" s="17" t="n"/>
      <c r="I19" s="26" t="n"/>
      <c r="J19" s="26" t="n"/>
      <c r="K19" s="26" t="n"/>
      <c r="L19" s="26" t="n"/>
    </row>
    <row r="20">
      <c r="A20" s="24" t="n"/>
      <c r="B20" s="15" t="n"/>
      <c r="C20" s="15" t="n"/>
      <c r="D20" s="15" t="n"/>
      <c r="E20" s="25" t="n"/>
      <c r="F20" s="25" t="n"/>
      <c r="G20" s="16" t="n"/>
      <c r="H20" s="17" t="n"/>
      <c r="I20" s="26" t="n"/>
      <c r="J20" s="26" t="n"/>
      <c r="K20" s="26" t="n"/>
      <c r="L20" s="26" t="n"/>
    </row>
    <row r="21">
      <c r="A21" s="24" t="n"/>
      <c r="B21" s="15" t="n"/>
      <c r="C21" s="15" t="n"/>
      <c r="D21" s="15" t="n"/>
      <c r="E21" s="25" t="n"/>
      <c r="F21" s="25" t="n"/>
      <c r="G21" s="16" t="n"/>
      <c r="H21" s="17" t="n"/>
      <c r="I21" s="26" t="n"/>
      <c r="J21" s="26" t="n"/>
      <c r="K21" s="26" t="n"/>
      <c r="L21" s="26" t="n"/>
    </row>
    <row r="22">
      <c r="A22" s="24" t="n"/>
      <c r="B22" s="15" t="n"/>
      <c r="C22" s="15" t="n"/>
      <c r="D22" s="15" t="n"/>
      <c r="E22" s="25" t="n"/>
      <c r="F22" s="25" t="n"/>
      <c r="G22" s="16" t="n"/>
      <c r="H22" s="17" t="n"/>
      <c r="I22" s="26" t="n"/>
      <c r="J22" s="26" t="n"/>
      <c r="K22" s="26" t="n"/>
      <c r="L22" s="26" t="n"/>
    </row>
    <row r="23">
      <c r="A23" s="24" t="n"/>
      <c r="B23" s="15" t="n"/>
      <c r="C23" s="15" t="n"/>
      <c r="D23" s="15" t="n"/>
      <c r="E23" s="25" t="n"/>
      <c r="F23" s="25" t="n"/>
      <c r="G23" s="16" t="n"/>
      <c r="H23" s="17" t="n"/>
      <c r="I23" s="26" t="n"/>
      <c r="J23" s="26" t="n"/>
      <c r="K23" s="26" t="n"/>
      <c r="L23" s="26" t="n"/>
    </row>
    <row r="24">
      <c r="A24" s="24" t="n"/>
      <c r="B24" s="15" t="n"/>
      <c r="C24" s="15" t="n"/>
      <c r="D24" s="15" t="n"/>
      <c r="E24" s="25" t="n"/>
      <c r="F24" s="25" t="n"/>
      <c r="G24" s="16" t="n"/>
      <c r="H24" s="17" t="n"/>
      <c r="I24" s="26" t="n"/>
      <c r="J24" s="26" t="n"/>
      <c r="K24" s="26" t="n"/>
      <c r="L24" s="26" t="n"/>
    </row>
    <row r="25">
      <c r="A25" s="24" t="n"/>
      <c r="B25" s="15" t="n"/>
      <c r="C25" s="15" t="n"/>
      <c r="D25" s="15" t="n"/>
      <c r="E25" s="25" t="n"/>
      <c r="F25" s="25" t="n"/>
      <c r="G25" s="16" t="n"/>
      <c r="H25" s="17" t="n"/>
      <c r="I25" s="26" t="n"/>
      <c r="J25" s="26" t="n"/>
      <c r="K25" s="26" t="n"/>
      <c r="L25" s="26" t="n"/>
    </row>
    <row r="26">
      <c r="A26" s="24" t="n"/>
      <c r="B26" s="15" t="n"/>
      <c r="C26" s="15" t="n"/>
      <c r="D26" s="15" t="n"/>
      <c r="E26" s="25" t="n"/>
      <c r="F26" s="25" t="n"/>
      <c r="G26" s="16" t="n"/>
      <c r="H26" s="17" t="n"/>
      <c r="I26" s="26" t="n"/>
      <c r="J26" s="26" t="n"/>
      <c r="K26" s="26" t="n"/>
      <c r="L26" s="26" t="n"/>
    </row>
    <row r="27">
      <c r="A27" s="24" t="n"/>
      <c r="B27" s="15" t="n"/>
      <c r="C27" s="15" t="n"/>
      <c r="D27" s="15" t="n"/>
      <c r="E27" s="25" t="n"/>
      <c r="F27" s="25" t="n"/>
      <c r="G27" s="16" t="n"/>
      <c r="H27" s="17" t="n"/>
      <c r="I27" s="26" t="n"/>
      <c r="J27" s="26" t="n"/>
      <c r="K27" s="26" t="n"/>
      <c r="L27" s="26" t="n"/>
    </row>
    <row r="28">
      <c r="A28" s="24" t="n"/>
      <c r="B28" s="15" t="n"/>
      <c r="C28" s="15" t="n"/>
      <c r="D28" s="15" t="n"/>
      <c r="E28" s="25" t="n"/>
      <c r="F28" s="25" t="n"/>
      <c r="G28" s="16" t="n"/>
      <c r="H28" s="17" t="n"/>
      <c r="I28" s="26" t="n"/>
      <c r="J28" s="26" t="n"/>
      <c r="K28" s="26" t="n"/>
      <c r="L28" s="26" t="n"/>
    </row>
    <row r="29">
      <c r="A29" s="24" t="n"/>
      <c r="B29" s="15" t="n"/>
      <c r="C29" s="15" t="n"/>
      <c r="D29" s="15" t="n"/>
      <c r="E29" s="25" t="n"/>
      <c r="F29" s="25" t="n"/>
      <c r="G29" s="16" t="n"/>
      <c r="H29" s="17" t="n"/>
      <c r="I29" s="26" t="n"/>
      <c r="J29" s="26" t="n"/>
      <c r="K29" s="26" t="n"/>
      <c r="L29" s="26" t="n"/>
    </row>
    <row r="30">
      <c r="A30" s="24" t="n"/>
      <c r="B30" s="15" t="n"/>
      <c r="C30" s="15" t="n"/>
      <c r="D30" s="15" t="n"/>
      <c r="E30" s="25" t="n"/>
      <c r="F30" s="25" t="n"/>
      <c r="G30" s="16" t="n"/>
      <c r="H30" s="17" t="n"/>
      <c r="I30" s="26" t="n"/>
      <c r="J30" s="26" t="n"/>
      <c r="K30" s="26" t="n"/>
      <c r="L30" s="26" t="n"/>
    </row>
    <row r="31">
      <c r="A31" s="24" t="n"/>
      <c r="B31" s="15" t="n"/>
      <c r="C31" s="15" t="n"/>
      <c r="D31" s="15" t="n"/>
      <c r="E31" s="25" t="n"/>
      <c r="F31" s="25" t="n"/>
      <c r="G31" s="16" t="n"/>
      <c r="H31" s="17" t="n"/>
      <c r="I31" s="26" t="n"/>
      <c r="J31" s="26" t="n"/>
      <c r="K31" s="26" t="n"/>
      <c r="L31" s="26" t="n"/>
    </row>
    <row r="32">
      <c r="A32" s="24" t="n"/>
      <c r="B32" s="15" t="n"/>
      <c r="C32" s="15" t="n"/>
      <c r="D32" s="15" t="n"/>
      <c r="E32" s="25" t="n"/>
      <c r="F32" s="25" t="n"/>
      <c r="G32" s="16" t="n"/>
      <c r="H32" s="17" t="n"/>
      <c r="I32" s="26" t="n"/>
      <c r="J32" s="26" t="n"/>
      <c r="K32" s="26" t="n"/>
      <c r="L32" s="26" t="n"/>
    </row>
    <row r="33">
      <c r="A33" s="24" t="n"/>
      <c r="B33" s="15" t="n"/>
      <c r="C33" s="15" t="n"/>
      <c r="D33" s="15" t="n"/>
      <c r="E33" s="25" t="n"/>
      <c r="F33" s="25" t="n"/>
      <c r="G33" s="16" t="n"/>
      <c r="H33" s="17" t="n"/>
      <c r="I33" s="26" t="n"/>
      <c r="J33" s="26" t="n"/>
      <c r="K33" s="26" t="n"/>
      <c r="L33" s="26" t="n"/>
    </row>
    <row r="34">
      <c r="A34" s="24" t="n"/>
      <c r="B34" s="15" t="n"/>
      <c r="C34" s="15" t="n"/>
      <c r="D34" s="15" t="n"/>
      <c r="E34" s="25" t="n"/>
      <c r="F34" s="25" t="n"/>
      <c r="G34" s="16" t="n"/>
      <c r="H34" s="17" t="n"/>
      <c r="I34" s="26" t="n"/>
      <c r="J34" s="26" t="n"/>
      <c r="K34" s="26" t="n"/>
      <c r="L34" s="26" t="n"/>
    </row>
    <row r="35">
      <c r="A35" s="24" t="n"/>
      <c r="B35" s="15" t="n"/>
      <c r="C35" s="15" t="n"/>
      <c r="D35" s="15" t="n"/>
      <c r="E35" s="25" t="n"/>
      <c r="F35" s="25" t="n"/>
      <c r="G35" s="16" t="n"/>
      <c r="H35" s="17" t="n"/>
      <c r="I35" s="26" t="n"/>
      <c r="J35" s="26" t="n"/>
      <c r="K35" s="26" t="n"/>
      <c r="L35" s="26" t="n"/>
    </row>
    <row r="36">
      <c r="A36" s="24" t="n"/>
      <c r="B36" s="15" t="n"/>
      <c r="C36" s="15" t="n"/>
      <c r="D36" s="15" t="n"/>
      <c r="E36" s="25" t="n"/>
      <c r="F36" s="25" t="n"/>
      <c r="G36" s="16" t="n"/>
      <c r="H36" s="17" t="n"/>
      <c r="I36" s="26" t="n"/>
      <c r="J36" s="26" t="n"/>
      <c r="K36" s="26" t="n"/>
      <c r="L36" s="26" t="n"/>
    </row>
    <row r="37">
      <c r="A37" s="24" t="n"/>
      <c r="B37" s="15" t="n"/>
      <c r="C37" s="15" t="n"/>
      <c r="D37" s="15" t="n"/>
      <c r="E37" s="25" t="n"/>
      <c r="F37" s="25" t="n"/>
      <c r="G37" s="16" t="n"/>
      <c r="H37" s="17" t="n"/>
      <c r="I37" s="26" t="n"/>
      <c r="J37" s="26" t="n"/>
      <c r="K37" s="26" t="n"/>
      <c r="L37" s="26" t="n"/>
    </row>
    <row r="38">
      <c r="A38" s="24" t="n"/>
      <c r="B38" s="15" t="n"/>
      <c r="C38" s="15" t="n"/>
      <c r="D38" s="15" t="n"/>
      <c r="E38" s="25" t="n"/>
      <c r="F38" s="25" t="n"/>
      <c r="G38" s="16" t="n"/>
      <c r="H38" s="17" t="n"/>
      <c r="I38" s="26" t="n"/>
      <c r="J38" s="26" t="n"/>
      <c r="K38" s="26" t="n"/>
      <c r="L38" s="26" t="n"/>
    </row>
    <row r="39">
      <c r="A39" s="24" t="n"/>
      <c r="B39" s="15" t="n"/>
      <c r="C39" s="15" t="n"/>
      <c r="D39" s="15" t="n"/>
      <c r="E39" s="25" t="n"/>
      <c r="F39" s="25" t="n"/>
      <c r="G39" s="16" t="n"/>
      <c r="H39" s="17" t="n"/>
      <c r="I39" s="26" t="n"/>
      <c r="J39" s="26" t="n"/>
      <c r="K39" s="26" t="n"/>
      <c r="L39" s="26" t="n"/>
    </row>
    <row r="40">
      <c r="A40" s="24" t="n"/>
      <c r="B40" s="15" t="n"/>
      <c r="C40" s="15" t="n"/>
      <c r="D40" s="15" t="n"/>
      <c r="E40" s="25" t="n"/>
      <c r="F40" s="25" t="n"/>
      <c r="G40" s="16" t="n"/>
      <c r="H40" s="17" t="n"/>
      <c r="I40" s="26" t="n"/>
      <c r="J40" s="26" t="n"/>
      <c r="K40" s="26" t="n"/>
      <c r="L40" s="26" t="n"/>
    </row>
    <row r="41">
      <c r="A41" s="24" t="n"/>
      <c r="B41" s="15" t="n"/>
      <c r="C41" s="15" t="n"/>
      <c r="D41" s="15" t="n"/>
      <c r="E41" s="25" t="n"/>
      <c r="F41" s="25" t="n"/>
      <c r="G41" s="16" t="n"/>
      <c r="H41" s="17" t="n"/>
      <c r="I41" s="26" t="n"/>
      <c r="J41" s="26" t="n"/>
      <c r="K41" s="26" t="n"/>
      <c r="L41" s="26" t="n"/>
    </row>
    <row r="42">
      <c r="A42" s="24" t="n"/>
      <c r="B42" s="15" t="n"/>
      <c r="C42" s="15" t="n"/>
      <c r="D42" s="15" t="n"/>
      <c r="E42" s="25" t="n"/>
      <c r="F42" s="25" t="n"/>
      <c r="G42" s="16" t="n"/>
      <c r="H42" s="17" t="n"/>
      <c r="I42" s="26" t="n"/>
      <c r="J42" s="26" t="n"/>
      <c r="K42" s="26" t="n"/>
      <c r="L42" s="26" t="n"/>
    </row>
    <row r="43">
      <c r="A43" s="24" t="n"/>
      <c r="B43" s="15" t="n"/>
      <c r="C43" s="15" t="n"/>
      <c r="D43" s="15" t="n"/>
      <c r="E43" s="25" t="n"/>
      <c r="F43" s="25" t="n"/>
      <c r="G43" s="16" t="n"/>
      <c r="H43" s="17" t="n"/>
      <c r="I43" s="26" t="n"/>
      <c r="J43" s="26" t="n"/>
      <c r="K43" s="26" t="n"/>
      <c r="L43" s="26" t="n"/>
    </row>
    <row r="44">
      <c r="A44" s="24" t="n"/>
      <c r="B44" s="15" t="n"/>
      <c r="C44" s="15" t="n"/>
      <c r="D44" s="15" t="n"/>
      <c r="E44" s="25" t="n"/>
      <c r="F44" s="25" t="n"/>
      <c r="G44" s="16" t="n"/>
      <c r="H44" s="17" t="n"/>
      <c r="I44" s="26" t="n"/>
      <c r="J44" s="26" t="n"/>
      <c r="K44" s="26" t="n"/>
      <c r="L44" s="26" t="n"/>
    </row>
  </sheetData>
  <dataValidations count="1">
    <dataValidation sqref="C5:C204" showDropDown="0" showInputMessage="0" showErrorMessage="0" allowBlank="1" type="list">
      <formula1>"BUY,SELL"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1" t="inlineStr">
        <is>
          <t>Settings</t>
        </is>
      </c>
    </row>
    <row r="2">
      <c r="A2" s="14" t="inlineStr">
        <is>
          <t>Yellow cells with blue text are inputs. Everything else is calculated.</t>
        </is>
      </c>
    </row>
    <row r="4">
      <c r="A4" s="27" t="inlineStr">
        <is>
          <t>Portfolio name</t>
        </is>
      </c>
      <c r="B4" s="15" t="inlineStr">
        <is>
          <t>Mock Equity Portfolio</t>
        </is>
      </c>
    </row>
    <row r="5">
      <c r="A5" s="27" t="inlineStr">
        <is>
          <t>Start date (inception)</t>
        </is>
      </c>
      <c r="B5" s="24" t="n">
        <v>46024</v>
      </c>
    </row>
    <row r="6">
      <c r="A6" s="27" t="inlineStr">
        <is>
          <t>Starting cash</t>
        </is>
      </c>
      <c r="B6" s="28" t="n">
        <v>100000</v>
      </c>
    </row>
    <row r="7">
      <c r="A7" s="27" t="inlineStr">
        <is>
          <t>Benchmark ticker</t>
        </is>
      </c>
      <c r="B7" s="15" t="inlineStr">
        <is>
          <t>SPY</t>
        </is>
      </c>
    </row>
    <row r="8">
      <c r="A8" s="27" t="inlineStr">
        <is>
          <t>Risk-free rate (annual)</t>
        </is>
      </c>
      <c r="B8" s="29" t="n">
        <v>0.04</v>
      </c>
    </row>
    <row r="11">
      <c r="A11" s="27" t="inlineStr">
        <is>
          <t>Notes</t>
        </is>
      </c>
    </row>
    <row r="12">
      <c r="A12" t="inlineStr">
        <is>
          <t>• Prices come from GOOGLEFINANCE and can be delayed up to 20 minutes.</t>
        </is>
      </c>
    </row>
    <row r="13">
      <c r="A13" t="inlineStr">
        <is>
          <t>• Benchmark: SPY tracks the S&amp;P 500. For the S&amp;P/TSX use XIC (TSE:XIC), and keep holdings in the same currency so returns are comparable.</t>
        </is>
      </c>
    </row>
    <row r="14">
      <c r="A14" t="inlineStr">
        <is>
          <t>• Returns are price returns; dividends are not included.</t>
        </is>
      </c>
    </row>
    <row r="15">
      <c r="A15" t="inlineStr">
        <is>
          <t>• Every ticker you trade must also be listed in a Holdings slot.</t>
        </is>
      </c>
    </row>
    <row r="16">
      <c r="A16" t="inlineStr">
        <is>
          <t>• History covers up to 1,000 trading days from the start 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30" min="1" max="1"/>
    <col width="13" customWidth="1" style="17" min="2" max="2"/>
    <col width="13" customWidth="1" style="31" min="3" max="3"/>
    <col width="13" customWidth="1" style="31" min="4" max="4"/>
    <col width="13" customWidth="1" style="31" min="5" max="5"/>
    <col width="13" customWidth="1" style="31" min="6" max="6"/>
    <col width="13" customWidth="1" style="31" min="7" max="7"/>
    <col width="13" customWidth="1" style="31" min="8" max="8"/>
    <col width="13" customWidth="1" style="31" min="9" max="9"/>
    <col width="13" customWidth="1" style="31" min="10" max="10"/>
    <col width="13" customWidth="1" style="31" min="11" max="11"/>
    <col width="13" customWidth="1" style="31" min="12" max="12"/>
    <col width="13" customWidth="1" style="31" min="13" max="13"/>
    <col width="13" customWidth="1" style="31" min="14" max="14"/>
    <col width="13" customWidth="1" style="31" min="15" max="15"/>
    <col width="13" customWidth="1" style="19" min="16" max="16"/>
    <col width="13" customWidth="1" style="19" min="17" max="17"/>
    <col width="13" customWidth="1" style="18" min="18" max="18"/>
    <col width="13" customWidth="1" style="18" min="19" max="19"/>
    <col width="13" customWidth="1" style="31" min="20" max="20"/>
    <col width="13" customWidth="1" style="18" min="21" max="21"/>
    <col width="13" customWidth="1" style="17" min="22" max="22"/>
    <col width="13" customWidth="1" style="18" min="23" max="23"/>
  </cols>
  <sheetData>
    <row r="1">
      <c r="A1" s="1" t="inlineStr">
        <is>
          <t>Daily History</t>
        </is>
      </c>
    </row>
    <row r="2">
      <c r="A2" s="14" t="inlineStr">
        <is>
          <t>Portfolio value is rebuilt each day from the trade log and closing prices. Don't type here.</t>
        </is>
      </c>
    </row>
    <row r="3">
      <c r="A3" s="5" t="inlineStr">
        <is>
          <t>Date</t>
        </is>
      </c>
      <c r="B3" s="5" t="inlineStr">
        <is>
          <t>Benchmark close</t>
        </is>
      </c>
      <c r="C3" s="5">
        <f>IF(Holdings!A5="","Slot 1",Holdings!A5&amp;" value")</f>
        <v/>
      </c>
      <c r="D3" s="5">
        <f>IF(Holdings!A6="","Slot 2",Holdings!A6&amp;" value")</f>
        <v/>
      </c>
      <c r="E3" s="5">
        <f>IF(Holdings!A7="","Slot 3",Holdings!A7&amp;" value")</f>
        <v/>
      </c>
      <c r="F3" s="5">
        <f>IF(Holdings!A8="","Slot 4",Holdings!A8&amp;" value")</f>
        <v/>
      </c>
      <c r="G3" s="5">
        <f>IF(Holdings!A9="","Slot 5",Holdings!A9&amp;" value")</f>
        <v/>
      </c>
      <c r="H3" s="5">
        <f>IF(Holdings!A10="","Slot 6",Holdings!A10&amp;" value")</f>
        <v/>
      </c>
      <c r="I3" s="5">
        <f>IF(Holdings!A11="","Slot 7",Holdings!A11&amp;" value")</f>
        <v/>
      </c>
      <c r="J3" s="5">
        <f>IF(Holdings!A12="","Slot 8",Holdings!A12&amp;" value")</f>
        <v/>
      </c>
      <c r="K3" s="5">
        <f>IF(Holdings!A13="","Slot 9",Holdings!A13&amp;" value")</f>
        <v/>
      </c>
      <c r="L3" s="5">
        <f>IF(Holdings!A14="","Slot 10",Holdings!A14&amp;" value")</f>
        <v/>
      </c>
      <c r="M3" s="5" t="inlineStr">
        <is>
          <t>Equities</t>
        </is>
      </c>
      <c r="N3" s="5" t="inlineStr">
        <is>
          <t>Cash</t>
        </is>
      </c>
      <c r="O3" s="5" t="inlineStr">
        <is>
          <t>Portfolio value</t>
        </is>
      </c>
      <c r="P3" s="5" t="inlineStr">
        <is>
          <t>Portfolio (base 100)</t>
        </is>
      </c>
      <c r="Q3" s="5" t="inlineStr">
        <is>
          <t>Benchmark (base 100)</t>
        </is>
      </c>
      <c r="R3" s="5" t="inlineStr">
        <is>
          <t>Portfolio daily ret</t>
        </is>
      </c>
      <c r="S3" s="5" t="inlineStr">
        <is>
          <t>Benchmark daily ret</t>
        </is>
      </c>
      <c r="T3" s="5" t="inlineStr">
        <is>
          <t>Portfolio peak</t>
        </is>
      </c>
      <c r="U3" s="5" t="inlineStr">
        <is>
          <t>Portfolio drawdown</t>
        </is>
      </c>
      <c r="V3" s="5" t="inlineStr">
        <is>
          <t>Benchmark peak</t>
        </is>
      </c>
      <c r="W3" s="5" t="inlineStr">
        <is>
          <t>Benchmark drawdown</t>
        </is>
      </c>
    </row>
    <row r="4">
      <c r="A4">
        <f>ARRAYFORMULA(IF(Prices!A4:A1003="",,Prices!A4:A1003))</f>
        <v/>
      </c>
      <c r="B4">
        <f>ARRAYFORMULA(IF(Prices!A4:A1003="",,Prices!B4:B1003))</f>
        <v/>
      </c>
      <c r="C4">
        <f>IF(Holdings!$A$5="",,MAP($A4:$A1003,LAMBDA(d,IF(d="",,SUMIFS(Trades!$G$5:$G$204,Trades!$B$5:$B$204,Holdings!$A$5,Trades!$A$5:$A$204,"&lt;="&amp;d)*IFERROR(XLOOKUP(d,Prices!$C$4:$C$1003,Prices!$D$4:$D$1003,0,-1),0)))))</f>
        <v/>
      </c>
      <c r="D4">
        <f>IF(Holdings!$A$6="",,MAP($A4:$A1003,LAMBDA(d,IF(d="",,SUMIFS(Trades!$G$5:$G$204,Trades!$B$5:$B$204,Holdings!$A$6,Trades!$A$5:$A$204,"&lt;="&amp;d)*IFERROR(XLOOKUP(d,Prices!$E$4:$E$1003,Prices!$F$4:$F$1003,0,-1),0)))))</f>
        <v/>
      </c>
      <c r="E4">
        <f>IF(Holdings!$A$7="",,MAP($A4:$A1003,LAMBDA(d,IF(d="",,SUMIFS(Trades!$G$5:$G$204,Trades!$B$5:$B$204,Holdings!$A$7,Trades!$A$5:$A$204,"&lt;="&amp;d)*IFERROR(XLOOKUP(d,Prices!$G$4:$G$1003,Prices!$H$4:$H$1003,0,-1),0)))))</f>
        <v/>
      </c>
      <c r="F4">
        <f>IF(Holdings!$A$8="",,MAP($A4:$A1003,LAMBDA(d,IF(d="",,SUMIFS(Trades!$G$5:$G$204,Trades!$B$5:$B$204,Holdings!$A$8,Trades!$A$5:$A$204,"&lt;="&amp;d)*IFERROR(XLOOKUP(d,Prices!$I$4:$I$1003,Prices!$J$4:$J$1003,0,-1),0)))))</f>
        <v/>
      </c>
      <c r="G4">
        <f>IF(Holdings!$A$9="",,MAP($A4:$A1003,LAMBDA(d,IF(d="",,SUMIFS(Trades!$G$5:$G$204,Trades!$B$5:$B$204,Holdings!$A$9,Trades!$A$5:$A$204,"&lt;="&amp;d)*IFERROR(XLOOKUP(d,Prices!$K$4:$K$1003,Prices!$L$4:$L$1003,0,-1),0)))))</f>
        <v/>
      </c>
      <c r="H4">
        <f>IF(Holdings!$A$10="",,MAP($A4:$A1003,LAMBDA(d,IF(d="",,SUMIFS(Trades!$G$5:$G$204,Trades!$B$5:$B$204,Holdings!$A$10,Trades!$A$5:$A$204,"&lt;="&amp;d)*IFERROR(XLOOKUP(d,Prices!$M$4:$M$1003,Prices!$N$4:$N$1003,0,-1),0)))))</f>
        <v/>
      </c>
      <c r="I4">
        <f>IF(Holdings!$A$11="",,MAP($A4:$A1003,LAMBDA(d,IF(d="",,SUMIFS(Trades!$G$5:$G$204,Trades!$B$5:$B$204,Holdings!$A$11,Trades!$A$5:$A$204,"&lt;="&amp;d)*IFERROR(XLOOKUP(d,Prices!$O$4:$O$1003,Prices!$P$4:$P$1003,0,-1),0)))))</f>
        <v/>
      </c>
      <c r="J4">
        <f>IF(Holdings!$A$12="",,MAP($A4:$A1003,LAMBDA(d,IF(d="",,SUMIFS(Trades!$G$5:$G$204,Trades!$B$5:$B$204,Holdings!$A$12,Trades!$A$5:$A$204,"&lt;="&amp;d)*IFERROR(XLOOKUP(d,Prices!$Q$4:$Q$1003,Prices!$R$4:$R$1003,0,-1),0)))))</f>
        <v/>
      </c>
      <c r="K4">
        <f>IF(Holdings!$A$13="",,MAP($A4:$A1003,LAMBDA(d,IF(d="",,SUMIFS(Trades!$G$5:$G$204,Trades!$B$5:$B$204,Holdings!$A$13,Trades!$A$5:$A$204,"&lt;="&amp;d)*IFERROR(XLOOKUP(d,Prices!$S$4:$S$1003,Prices!$T$4:$T$1003,0,-1),0)))))</f>
        <v/>
      </c>
      <c r="L4">
        <f>IF(Holdings!$A$14="",,MAP($A4:$A1003,LAMBDA(d,IF(d="",,SUMIFS(Trades!$G$5:$G$204,Trades!$B$5:$B$204,Holdings!$A$14,Trades!$A$5:$A$204,"&lt;="&amp;d)*IFERROR(XLOOKUP(d,Prices!$U$4:$U$1003,Prices!$V$4:$V$1003,0,-1),0)))))</f>
        <v/>
      </c>
      <c r="M4">
        <f>ARRAYFORMULA(IF(A4:A1003="",,MMULT(IFERROR(C4:L1003*1,0),SEQUENCE(10,1,1,0))))</f>
        <v/>
      </c>
      <c r="N4">
        <f>MAP(A4:A1003,LAMBDA(d,IF(d="",,Settings!$B$6+SUMIFS(Trades!$H$5:$H$204,Trades!$A$5:$A$204,"&lt;="&amp;d))))</f>
        <v/>
      </c>
      <c r="O4">
        <f>ARRAYFORMULA(IF(A4:A1003="",,M4:M1003+N4:N1003))</f>
        <v/>
      </c>
      <c r="P4">
        <f>ARRAYFORMULA(IF(A4:A1003="",,O4:O1003/$O$4*100))</f>
        <v/>
      </c>
      <c r="Q4">
        <f>ARRAYFORMULA(IF(A4:A1003="",,B4:B1003/$B$4*100))</f>
        <v/>
      </c>
      <c r="T4">
        <f>SCAN(0,O4:O1003,LAMBDA(a,v,IF(v="",a,MAX(a,v))))</f>
        <v/>
      </c>
      <c r="U4">
        <f>ARRAYFORMULA(IF(A4:A1003="",,O4:O1003/T4:T1003-1))</f>
        <v/>
      </c>
      <c r="V4">
        <f>SCAN(0,B4:B1003,LAMBDA(a,v,IF(v="",a,MAX(a,v))))</f>
        <v/>
      </c>
      <c r="W4">
        <f>ARRAYFORMULA(IF(A4:A1003="",,B4:B1003/V4:V1003-1))</f>
        <v/>
      </c>
    </row>
    <row r="5">
      <c r="R5">
        <f>ARRAYFORMULA(IF(A5:A1003="",,O5:O1003/O4:O1002-1))</f>
        <v/>
      </c>
      <c r="S5">
        <f>ARRAYFORMULA(IF(A5:A1003="",,B5:B1003/B4:B1002-1))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1" customWidth="1" style="30" min="1" max="1"/>
    <col width="11" customWidth="1" min="2" max="2"/>
    <col width="11" customWidth="1" style="30" min="3" max="3"/>
    <col width="11" customWidth="1" min="4" max="4"/>
    <col width="11" customWidth="1" style="30" min="5" max="5"/>
    <col width="11" customWidth="1" min="6" max="6"/>
    <col width="11" customWidth="1" style="30" min="7" max="7"/>
    <col width="11" customWidth="1" min="8" max="8"/>
    <col width="11" customWidth="1" style="30" min="9" max="9"/>
    <col width="11" customWidth="1" min="10" max="10"/>
    <col width="11" customWidth="1" style="30" min="11" max="11"/>
    <col width="11" customWidth="1" min="12" max="12"/>
    <col width="11" customWidth="1" style="30" min="13" max="13"/>
    <col width="11" customWidth="1" min="14" max="14"/>
    <col width="11" customWidth="1" style="30" min="15" max="15"/>
    <col width="11" customWidth="1" min="16" max="16"/>
    <col width="11" customWidth="1" style="30" min="17" max="17"/>
    <col width="11" customWidth="1" min="18" max="18"/>
    <col width="11" customWidth="1" style="30" min="19" max="19"/>
    <col width="11" customWidth="1" min="20" max="20"/>
    <col width="11" customWidth="1" style="30" min="21" max="21"/>
    <col width="11" customWidth="1" min="22" max="22"/>
  </cols>
  <sheetData>
    <row r="1">
      <c r="A1" s="1" t="inlineStr">
        <is>
          <t>Raw Prices</t>
        </is>
      </c>
    </row>
    <row r="2">
      <c r="A2" s="14" t="inlineStr">
        <is>
          <t>Daily closes from GOOGLEFINANCE, starting at the Settings start date. Don't type here.</t>
        </is>
      </c>
    </row>
    <row r="3">
      <c r="A3">
        <f>GOOGLEFINANCE(Settings!$B$7,"close",Settings!$B$5,TODAY(),"DAILY")</f>
        <v/>
      </c>
      <c r="C3">
        <f>IFERROR(GOOGLEFINANCE(Holdings!$A$5,"close",Settings!$B$5,TODAY(),"DAILY"),"")</f>
        <v/>
      </c>
      <c r="E3">
        <f>IFERROR(GOOGLEFINANCE(Holdings!$A$6,"close",Settings!$B$5,TODAY(),"DAILY"),"")</f>
        <v/>
      </c>
      <c r="G3">
        <f>IFERROR(GOOGLEFINANCE(Holdings!$A$7,"close",Settings!$B$5,TODAY(),"DAILY"),"")</f>
        <v/>
      </c>
      <c r="I3">
        <f>IFERROR(GOOGLEFINANCE(Holdings!$A$8,"close",Settings!$B$5,TODAY(),"DAILY"),"")</f>
        <v/>
      </c>
      <c r="K3">
        <f>IFERROR(GOOGLEFINANCE(Holdings!$A$9,"close",Settings!$B$5,TODAY(),"DAILY"),"")</f>
        <v/>
      </c>
      <c r="M3">
        <f>IFERROR(GOOGLEFINANCE(Holdings!$A$10,"close",Settings!$B$5,TODAY(),"DAILY"),"")</f>
        <v/>
      </c>
      <c r="O3">
        <f>IFERROR(GOOGLEFINANCE(Holdings!$A$11,"close",Settings!$B$5,TODAY(),"DAILY"),"")</f>
        <v/>
      </c>
      <c r="Q3">
        <f>IFERROR(GOOGLEFINANCE(Holdings!$A$12,"close",Settings!$B$5,TODAY(),"DAILY"),"")</f>
        <v/>
      </c>
      <c r="S3">
        <f>IFERROR(GOOGLEFINANCE(Holdings!$A$13,"close",Settings!$B$5,TODAY(),"DAILY"),"")</f>
        <v/>
      </c>
      <c r="U3">
        <f>IFERROR(GOOGLEFINANCE(Holdings!$A$14,"close",Settings!$B$5,TODAY(),"DAILY"),"")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2026-10-12T19:42:59Z</dcterms:created>
  <dcterms:modified xmlns:dcterms="http://purl.org/dc/terms/" xmlns:xsi="http://www.w3.org/2001/XMLSchema-instance" xsi:type="dcterms:W3CDTF">2026-10-12T19:42:59Z</dcterms:modified>
</cp:coreProperties>
</file>